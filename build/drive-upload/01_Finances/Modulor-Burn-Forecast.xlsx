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funding Burn" sheetId="1" state="visible" r:id="rId1"/>
    <sheet xmlns:r="http://schemas.openxmlformats.org/officeDocument/2006/relationships" name="Post-funding Burn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[Red]_($* (#,##0);_($* &quot;-&quot;??_);_(@_)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2E4C3D"/>
      <sz val="16"/>
    </font>
    <font>
      <name val="Calibri"/>
      <i val="1"/>
      <color rgb="00666666"/>
      <sz val="10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4C3D"/>
      </patternFill>
    </fill>
    <fill>
      <patternFill patternType="solid">
        <fgColor rgb="00F2F2F2"/>
      </patternFill>
    </fill>
    <fill>
      <patternFill patternType="solid">
        <fgColor rgb="00DCE7D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5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5" fillId="4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8" customWidth="1" min="3" max="3"/>
    <col width="14" customWidth="1" min="4" max="4"/>
    <col width="32" customWidth="1" min="5" max="5"/>
  </cols>
  <sheetData>
    <row r="1">
      <c r="A1" s="1" t="inlineStr">
        <is>
          <t>Pre-funding burn — Apr 2026 → Sep 2026 (target close)</t>
        </is>
      </c>
    </row>
    <row r="2">
      <c r="A2" s="2" t="inlineStr">
        <is>
          <t>Founder-funded; reimburse from Modulor account once Mercury opens.</t>
        </is>
      </c>
    </row>
    <row r="4">
      <c r="A4" s="3" t="inlineStr">
        <is>
          <t>Month</t>
        </is>
      </c>
      <c r="B4" s="3" t="inlineStr">
        <is>
          <t>Date</t>
        </is>
      </c>
      <c r="C4" s="3" t="inlineStr">
        <is>
          <t>Item</t>
        </is>
      </c>
      <c r="D4" s="3" t="inlineStr">
        <is>
          <t>Amount</t>
        </is>
      </c>
      <c r="E4" s="3" t="inlineStr">
        <is>
          <t>Status</t>
        </is>
      </c>
    </row>
    <row r="5">
      <c r="A5" s="4" t="inlineStr">
        <is>
          <t>M1</t>
        </is>
      </c>
      <c r="B5" s="4" t="inlineStr">
        <is>
          <t>Apr 2026</t>
        </is>
      </c>
      <c r="C5" s="4" t="inlineStr">
        <is>
          <t>Stripe Atlas formation</t>
        </is>
      </c>
      <c r="D5" s="5" t="n">
        <v>500</v>
      </c>
      <c r="E5" s="4" t="inlineStr">
        <is>
          <t>✅ Paid (founder Amex)</t>
        </is>
      </c>
    </row>
    <row r="6">
      <c r="A6" s="4" t="inlineStr">
        <is>
          <t>M1</t>
        </is>
      </c>
      <c r="B6" s="4" t="inlineStr">
        <is>
          <t>Apr 2026</t>
        </is>
      </c>
      <c r="C6" s="4" t="inlineStr">
        <is>
          <t>Stable virtual address (annual)</t>
        </is>
      </c>
      <c r="D6" s="5" t="n">
        <v>588</v>
      </c>
      <c r="E6" s="4" t="inlineStr">
        <is>
          <t>✅ Paid (founder Amex)</t>
        </is>
      </c>
    </row>
    <row r="7">
      <c r="A7" s="4" t="inlineStr">
        <is>
          <t>M1</t>
        </is>
      </c>
      <c r="B7" s="4" t="inlineStr">
        <is>
          <t>Apr 2026</t>
        </is>
      </c>
      <c r="C7" s="4" t="inlineStr">
        <is>
          <t>Google Workspace seat (Mitchell, monthly)</t>
        </is>
      </c>
      <c r="D7" s="5" t="n">
        <v>14</v>
      </c>
      <c r="E7" s="4" t="inlineStr">
        <is>
          <t>Recurring</t>
        </is>
      </c>
    </row>
    <row r="8">
      <c r="A8" s="4" t="inlineStr">
        <is>
          <t>M2</t>
        </is>
      </c>
      <c r="B8" s="4" t="inlineStr">
        <is>
          <t>May 2026</t>
        </is>
      </c>
      <c r="C8" s="4" t="inlineStr">
        <is>
          <t>Google Workspace seat (Mitchell, monthly)</t>
        </is>
      </c>
      <c r="D8" s="5" t="n">
        <v>14</v>
      </c>
      <c r="E8" s="4" t="inlineStr">
        <is>
          <t>Recurring</t>
        </is>
      </c>
    </row>
    <row r="9">
      <c r="A9" s="4" t="inlineStr">
        <is>
          <t>M3</t>
        </is>
      </c>
      <c r="B9" s="4" t="inlineStr">
        <is>
          <t>Jun 2026</t>
        </is>
      </c>
      <c r="C9" s="4" t="inlineStr">
        <is>
          <t>Google Workspace seat (Mitchell, monthly)</t>
        </is>
      </c>
      <c r="D9" s="5" t="n">
        <v>14</v>
      </c>
      <c r="E9" s="4" t="inlineStr">
        <is>
          <t>Recurring</t>
        </is>
      </c>
    </row>
    <row r="10">
      <c r="A10" s="4" t="inlineStr">
        <is>
          <t>M4</t>
        </is>
      </c>
      <c r="B10" s="4" t="inlineStr">
        <is>
          <t>Jul 2026</t>
        </is>
      </c>
      <c r="C10" s="4" t="inlineStr">
        <is>
          <t>Google Workspace seat (Mitchell, monthly)</t>
        </is>
      </c>
      <c r="D10" s="5" t="n">
        <v>14</v>
      </c>
      <c r="E10" s="4" t="inlineStr">
        <is>
          <t>Recurring</t>
        </is>
      </c>
    </row>
    <row r="11">
      <c r="A11" s="4" t="inlineStr">
        <is>
          <t>M5</t>
        </is>
      </c>
      <c r="B11" s="4" t="inlineStr">
        <is>
          <t>Aug 2026</t>
        </is>
      </c>
      <c r="C11" s="4" t="inlineStr">
        <is>
          <t>Google Workspace seat (Mitchell, monthly)</t>
        </is>
      </c>
      <c r="D11" s="5" t="n">
        <v>14</v>
      </c>
      <c r="E11" s="4" t="inlineStr">
        <is>
          <t>Recurring</t>
        </is>
      </c>
    </row>
    <row r="12">
      <c r="A12" s="4" t="inlineStr">
        <is>
          <t>M2</t>
        </is>
      </c>
      <c r="B12" s="4" t="inlineStr">
        <is>
          <t>May 2026</t>
        </is>
      </c>
      <c r="C12" s="4" t="inlineStr">
        <is>
          <t>Google Workspace seat (Luke, monthly)</t>
        </is>
      </c>
      <c r="D12" s="5" t="n">
        <v>14</v>
      </c>
      <c r="E12" s="4" t="inlineStr">
        <is>
          <t>Recurring (Luke active May+)</t>
        </is>
      </c>
    </row>
    <row r="13">
      <c r="A13" s="4" t="inlineStr">
        <is>
          <t>M3</t>
        </is>
      </c>
      <c r="B13" s="4" t="inlineStr">
        <is>
          <t>Jun 2026</t>
        </is>
      </c>
      <c r="C13" s="4" t="inlineStr">
        <is>
          <t>Google Workspace seat (Luke, monthly)</t>
        </is>
      </c>
      <c r="D13" s="5" t="n">
        <v>14</v>
      </c>
      <c r="E13" s="4" t="inlineStr">
        <is>
          <t>Recurring</t>
        </is>
      </c>
    </row>
    <row r="14">
      <c r="A14" s="4" t="inlineStr">
        <is>
          <t>M4</t>
        </is>
      </c>
      <c r="B14" s="4" t="inlineStr">
        <is>
          <t>Jul 2026</t>
        </is>
      </c>
      <c r="C14" s="4" t="inlineStr">
        <is>
          <t>Google Workspace seat (Luke, monthly)</t>
        </is>
      </c>
      <c r="D14" s="5" t="n">
        <v>14</v>
      </c>
      <c r="E14" s="4" t="inlineStr">
        <is>
          <t>Recurring</t>
        </is>
      </c>
    </row>
    <row r="15">
      <c r="A15" s="4" t="inlineStr">
        <is>
          <t>M5</t>
        </is>
      </c>
      <c r="B15" s="4" t="inlineStr">
        <is>
          <t>Aug 2026</t>
        </is>
      </c>
      <c r="C15" s="4" t="inlineStr">
        <is>
          <t>Google Workspace seat (Luke, monthly)</t>
        </is>
      </c>
      <c r="D15" s="5" t="n">
        <v>14</v>
      </c>
      <c r="E15" s="4" t="inlineStr">
        <is>
          <t>Recurring</t>
        </is>
      </c>
    </row>
    <row r="16">
      <c r="A16" s="4" t="inlineStr">
        <is>
          <t>M2</t>
        </is>
      </c>
      <c r="B16" s="4" t="inlineStr">
        <is>
          <t>May 2026</t>
        </is>
      </c>
      <c r="C16" s="4" t="inlineStr">
        <is>
          <t>Slack Pro (2 seats, monthly)</t>
        </is>
      </c>
      <c r="D16" s="5" t="n">
        <v>17</v>
      </c>
      <c r="E16" s="4" t="inlineStr">
        <is>
          <t>Recurring (Apr 27 setup)</t>
        </is>
      </c>
    </row>
    <row r="17">
      <c r="A17" s="4" t="inlineStr">
        <is>
          <t>M3</t>
        </is>
      </c>
      <c r="B17" s="4" t="inlineStr">
        <is>
          <t>Jun 2026</t>
        </is>
      </c>
      <c r="C17" s="4" t="inlineStr">
        <is>
          <t>Slack Pro (2 seats, monthly)</t>
        </is>
      </c>
      <c r="D17" s="5" t="n">
        <v>17</v>
      </c>
      <c r="E17" s="4" t="inlineStr">
        <is>
          <t>Recurring</t>
        </is>
      </c>
    </row>
    <row r="18">
      <c r="A18" s="4" t="inlineStr">
        <is>
          <t>M4</t>
        </is>
      </c>
      <c r="B18" s="4" t="inlineStr">
        <is>
          <t>Jul 2026</t>
        </is>
      </c>
      <c r="C18" s="4" t="inlineStr">
        <is>
          <t>Slack Pro (2 seats, monthly)</t>
        </is>
      </c>
      <c r="D18" s="5" t="n">
        <v>17</v>
      </c>
      <c r="E18" s="4" t="inlineStr">
        <is>
          <t>Recurring</t>
        </is>
      </c>
    </row>
    <row r="19">
      <c r="A19" s="4" t="inlineStr">
        <is>
          <t>M5</t>
        </is>
      </c>
      <c r="B19" s="4" t="inlineStr">
        <is>
          <t>Aug 2026</t>
        </is>
      </c>
      <c r="C19" s="4" t="inlineStr">
        <is>
          <t>Slack Pro (2 seats, monthly)</t>
        </is>
      </c>
      <c r="D19" s="5" t="n">
        <v>17</v>
      </c>
      <c r="E19" s="4" t="inlineStr">
        <is>
          <t>Recurring</t>
        </is>
      </c>
    </row>
    <row r="20">
      <c r="A20" s="4" t="inlineStr">
        <is>
          <t>M2</t>
        </is>
      </c>
      <c r="B20" s="4" t="inlineStr">
        <is>
          <t>May 2026</t>
        </is>
      </c>
      <c r="C20" s="4" t="inlineStr">
        <is>
          <t>Outside counsel retainer (Atlas Plus partner)</t>
        </is>
      </c>
      <c r="D20" s="5" t="n">
        <v>2500</v>
      </c>
      <c r="E20" s="4" t="inlineStr">
        <is>
          <t>Pending — Apr 27 AM submit</t>
        </is>
      </c>
    </row>
    <row r="21">
      <c r="A21" s="4" t="inlineStr">
        <is>
          <t>M2</t>
        </is>
      </c>
      <c r="B21" s="4" t="inlineStr">
        <is>
          <t>May 2026</t>
        </is>
      </c>
      <c r="C21" s="4" t="inlineStr">
        <is>
          <t>RSPA + 83(b) execution package (Luke)</t>
        </is>
      </c>
      <c r="D21" s="5" t="n">
        <v>750</v>
      </c>
      <c r="E21" s="4" t="inlineStr">
        <is>
          <t>Pending — same package</t>
        </is>
      </c>
    </row>
    <row r="22">
      <c r="A22" s="4" t="inlineStr">
        <is>
          <t>M2</t>
        </is>
      </c>
      <c r="B22" s="4" t="inlineStr">
        <is>
          <t>May 2026</t>
        </is>
      </c>
      <c r="C22" s="4" t="inlineStr">
        <is>
          <t>Patent assignment Mitchell → Modulor</t>
        </is>
      </c>
      <c r="D22" s="5" t="n">
        <v>500</v>
      </c>
      <c r="E22" s="4" t="inlineStr">
        <is>
          <t>Pending — same package</t>
        </is>
      </c>
    </row>
    <row r="23">
      <c r="A23" s="4" t="inlineStr">
        <is>
          <t>M3</t>
        </is>
      </c>
      <c r="B23" s="4" t="inlineStr">
        <is>
          <t>Jun 2026</t>
        </is>
      </c>
      <c r="C23" s="4" t="inlineStr">
        <is>
          <t>USPTO trademark filing (3 classes, TEAS Plus)</t>
        </is>
      </c>
      <c r="D23" s="5" t="n">
        <v>1050</v>
      </c>
      <c r="E23" s="4" t="inlineStr">
        <is>
          <t>Self-file (no counsel)</t>
        </is>
      </c>
    </row>
    <row r="24">
      <c r="A24" s="4" t="inlineStr">
        <is>
          <t>M4</t>
        </is>
      </c>
      <c r="B24" s="4" t="inlineStr">
        <is>
          <t>Jul 2026</t>
        </is>
      </c>
      <c r="C24" s="4" t="inlineStr">
        <is>
          <t>D&amp;O insurance, Year 1 (mid-quote)</t>
        </is>
      </c>
      <c r="D24" s="5" t="n">
        <v>2250</v>
      </c>
      <c r="E24" s="4" t="inlineStr">
        <is>
          <t>Required pre-first-check</t>
        </is>
      </c>
    </row>
    <row r="25">
      <c r="A25" s="4" t="inlineStr">
        <is>
          <t>M2</t>
        </is>
      </c>
      <c r="B25" s="4" t="inlineStr">
        <is>
          <t>May 2026</t>
        </is>
      </c>
      <c r="C25" s="4" t="inlineStr">
        <is>
          <t>Mutual NDA (Adam, vendors) — counsel time</t>
        </is>
      </c>
      <c r="D25" s="5" t="n">
        <v>250</v>
      </c>
      <c r="E25" s="4" t="inlineStr">
        <is>
          <t>Pending</t>
        </is>
      </c>
    </row>
    <row r="26">
      <c r="A26" s="4" t="n"/>
      <c r="B26" s="4" t="n"/>
      <c r="C26" s="6" t="inlineStr">
        <is>
          <t>Total pre-funding spend</t>
        </is>
      </c>
      <c r="D26" s="7">
        <f>SUM(D5:D25)</f>
        <v/>
      </c>
      <c r="E26" s="4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1">
      <c r="A1" s="8" t="inlineStr">
        <is>
          <t>Post-funding burn — Mo 1 = Sep 2026 · raise $3,000,000 · 30 months</t>
        </is>
      </c>
    </row>
    <row r="2" ht="32" customHeight="1">
      <c r="A2" s="3" t="inlineStr">
        <is>
          <t>Line</t>
        </is>
      </c>
      <c r="B2" s="3" t="inlineStr">
        <is>
          <t>Mo 1
Sep 26</t>
        </is>
      </c>
      <c r="C2" s="3" t="inlineStr">
        <is>
          <t>Mo 2
Oct 26</t>
        </is>
      </c>
      <c r="D2" s="3" t="inlineStr">
        <is>
          <t>Mo 3
Nov 26</t>
        </is>
      </c>
      <c r="E2" s="3" t="inlineStr">
        <is>
          <t>Mo 4
Dec 26</t>
        </is>
      </c>
      <c r="F2" s="3" t="inlineStr">
        <is>
          <t>Mo 5
Jan 27</t>
        </is>
      </c>
      <c r="G2" s="3" t="inlineStr">
        <is>
          <t>Mo 6
Feb 27</t>
        </is>
      </c>
      <c r="H2" s="3" t="inlineStr">
        <is>
          <t>Mo 7
Mar 27</t>
        </is>
      </c>
      <c r="I2" s="3" t="inlineStr">
        <is>
          <t>Mo 8
Apr 27</t>
        </is>
      </c>
      <c r="J2" s="3" t="inlineStr">
        <is>
          <t>Mo 9
May 27</t>
        </is>
      </c>
      <c r="K2" s="3" t="inlineStr">
        <is>
          <t>Mo 10
Jun 27</t>
        </is>
      </c>
      <c r="L2" s="3" t="inlineStr">
        <is>
          <t>Mo 11
Jul 27</t>
        </is>
      </c>
      <c r="M2" s="3" t="inlineStr">
        <is>
          <t>Mo 12
Aug 27</t>
        </is>
      </c>
      <c r="N2" s="3" t="inlineStr">
        <is>
          <t>Mo 13
Sep 27</t>
        </is>
      </c>
      <c r="O2" s="3" t="inlineStr">
        <is>
          <t>Mo 14
Oct 27</t>
        </is>
      </c>
      <c r="P2" s="3" t="inlineStr">
        <is>
          <t>Mo 15
Nov 27</t>
        </is>
      </c>
      <c r="Q2" s="3" t="inlineStr">
        <is>
          <t>Mo 16
Dec 27</t>
        </is>
      </c>
      <c r="R2" s="3" t="inlineStr">
        <is>
          <t>Mo 17
Jan 28</t>
        </is>
      </c>
      <c r="S2" s="3" t="inlineStr">
        <is>
          <t>Mo 18
Feb 28</t>
        </is>
      </c>
      <c r="T2" s="3" t="inlineStr">
        <is>
          <t>Mo 19
Mar 28</t>
        </is>
      </c>
      <c r="U2" s="3" t="inlineStr">
        <is>
          <t>Mo 20
Apr 28</t>
        </is>
      </c>
      <c r="V2" s="3" t="inlineStr">
        <is>
          <t>Mo 21
May 28</t>
        </is>
      </c>
      <c r="W2" s="3" t="inlineStr">
        <is>
          <t>Mo 22
Jun 28</t>
        </is>
      </c>
      <c r="X2" s="3" t="inlineStr">
        <is>
          <t>Mo 23
Jul 28</t>
        </is>
      </c>
      <c r="Y2" s="3" t="inlineStr">
        <is>
          <t>Mo 24
Aug 28</t>
        </is>
      </c>
      <c r="Z2" s="3" t="inlineStr">
        <is>
          <t>Mo 25
Sep 28</t>
        </is>
      </c>
      <c r="AA2" s="3" t="inlineStr">
        <is>
          <t>Mo 26
Oct 28</t>
        </is>
      </c>
      <c r="AB2" s="3" t="inlineStr">
        <is>
          <t>Mo 27
Nov 28</t>
        </is>
      </c>
      <c r="AC2" s="3" t="inlineStr">
        <is>
          <t>Mo 28
Dec 28</t>
        </is>
      </c>
      <c r="AD2" s="3" t="inlineStr">
        <is>
          <t>Mo 29
Jan 29</t>
        </is>
      </c>
      <c r="AE2" s="3" t="inlineStr">
        <is>
          <t>Mo 30
Feb 29</t>
        </is>
      </c>
      <c r="AF2" s="3" t="inlineStr">
        <is>
          <t>Total</t>
        </is>
      </c>
    </row>
    <row r="3">
      <c r="A3" s="9" t="inlineStr">
        <is>
          <t>Hardware prototyping</t>
        </is>
      </c>
      <c r="B3" s="10" t="n">
        <v>84906</v>
      </c>
      <c r="C3" s="10" t="n">
        <v>90566</v>
      </c>
      <c r="D3" s="10" t="n">
        <v>96226</v>
      </c>
      <c r="E3" s="10" t="n">
        <v>96226</v>
      </c>
      <c r="F3" s="10" t="n">
        <v>90566</v>
      </c>
      <c r="G3" s="10" t="n">
        <v>84906</v>
      </c>
      <c r="H3" s="10" t="n">
        <v>79245</v>
      </c>
      <c r="I3" s="10" t="n">
        <v>67925</v>
      </c>
      <c r="J3" s="10" t="n">
        <v>56604</v>
      </c>
      <c r="K3" s="10" t="n">
        <v>39623</v>
      </c>
      <c r="L3" s="10" t="n">
        <v>33962</v>
      </c>
      <c r="M3" s="10" t="n">
        <v>33962</v>
      </c>
      <c r="N3" s="10" t="n">
        <v>28302</v>
      </c>
      <c r="O3" s="10" t="n">
        <v>28302</v>
      </c>
      <c r="P3" s="10" t="n">
        <v>22642</v>
      </c>
      <c r="Q3" s="10" t="n">
        <v>22642</v>
      </c>
      <c r="R3" s="10" t="n">
        <v>22642</v>
      </c>
      <c r="S3" s="10" t="n">
        <v>16981</v>
      </c>
      <c r="T3" s="10" t="n">
        <v>16981</v>
      </c>
      <c r="U3" s="10" t="n">
        <v>16981</v>
      </c>
      <c r="V3" s="10" t="n">
        <v>16981</v>
      </c>
      <c r="W3" s="10" t="n">
        <v>16981</v>
      </c>
      <c r="X3" s="10" t="n">
        <v>16981</v>
      </c>
      <c r="Y3" s="10" t="n">
        <v>16981</v>
      </c>
      <c r="Z3" s="10" t="n">
        <v>16981</v>
      </c>
      <c r="AA3" s="10" t="n">
        <v>16981</v>
      </c>
      <c r="AB3" s="10" t="n">
        <v>16981</v>
      </c>
      <c r="AC3" s="10" t="n">
        <v>16981</v>
      </c>
      <c r="AD3" s="10" t="n">
        <v>16981</v>
      </c>
      <c r="AE3" s="10" t="n">
        <v>16981</v>
      </c>
      <c r="AF3" s="11">
        <f>SUM(B3:AE3)</f>
        <v/>
      </c>
    </row>
    <row r="4">
      <c r="A4" s="9" t="inlineStr">
        <is>
          <t>Engineering</t>
        </is>
      </c>
      <c r="B4" s="10" t="n">
        <v>17476</v>
      </c>
      <c r="C4" s="10" t="n">
        <v>20388</v>
      </c>
      <c r="D4" s="10" t="n">
        <v>23301</v>
      </c>
      <c r="E4" s="10" t="n">
        <v>26214</v>
      </c>
      <c r="F4" s="10" t="n">
        <v>26214</v>
      </c>
      <c r="G4" s="10" t="n">
        <v>29126</v>
      </c>
      <c r="H4" s="10" t="n">
        <v>32039</v>
      </c>
      <c r="I4" s="10" t="n">
        <v>32039</v>
      </c>
      <c r="J4" s="10" t="n">
        <v>32039</v>
      </c>
      <c r="K4" s="10" t="n">
        <v>32039</v>
      </c>
      <c r="L4" s="10" t="n">
        <v>34951</v>
      </c>
      <c r="M4" s="10" t="n">
        <v>34951</v>
      </c>
      <c r="N4" s="10" t="n">
        <v>34951</v>
      </c>
      <c r="O4" s="10" t="n">
        <v>34951</v>
      </c>
      <c r="P4" s="10" t="n">
        <v>34951</v>
      </c>
      <c r="Q4" s="10" t="n">
        <v>34951</v>
      </c>
      <c r="R4" s="10" t="n">
        <v>32039</v>
      </c>
      <c r="S4" s="10" t="n">
        <v>32039</v>
      </c>
      <c r="T4" s="10" t="n">
        <v>32039</v>
      </c>
      <c r="U4" s="10" t="n">
        <v>32039</v>
      </c>
      <c r="V4" s="10" t="n">
        <v>29126</v>
      </c>
      <c r="W4" s="10" t="n">
        <v>29126</v>
      </c>
      <c r="X4" s="10" t="n">
        <v>29126</v>
      </c>
      <c r="Y4" s="10" t="n">
        <v>29126</v>
      </c>
      <c r="Z4" s="10" t="n">
        <v>29126</v>
      </c>
      <c r="AA4" s="10" t="n">
        <v>29126</v>
      </c>
      <c r="AB4" s="10" t="n">
        <v>29126</v>
      </c>
      <c r="AC4" s="10" t="n">
        <v>29126</v>
      </c>
      <c r="AD4" s="10" t="n">
        <v>29126</v>
      </c>
      <c r="AE4" s="10" t="n">
        <v>29129</v>
      </c>
      <c r="AF4" s="11">
        <f>SUM(B4:AE4)</f>
        <v/>
      </c>
    </row>
    <row r="5">
      <c r="A5" s="9" t="inlineStr">
        <is>
          <t>Go-to-market</t>
        </is>
      </c>
      <c r="B5" s="10" t="n">
        <v>5590</v>
      </c>
      <c r="C5" s="10" t="n">
        <v>5590</v>
      </c>
      <c r="D5" s="10" t="n">
        <v>5590</v>
      </c>
      <c r="E5" s="10" t="n">
        <v>5590</v>
      </c>
      <c r="F5" s="10" t="n">
        <v>6988</v>
      </c>
      <c r="G5" s="10" t="n">
        <v>6988</v>
      </c>
      <c r="H5" s="10" t="n">
        <v>8385</v>
      </c>
      <c r="I5" s="10" t="n">
        <v>8385</v>
      </c>
      <c r="J5" s="10" t="n">
        <v>9783</v>
      </c>
      <c r="K5" s="10" t="n">
        <v>9783</v>
      </c>
      <c r="L5" s="10" t="n">
        <v>11180</v>
      </c>
      <c r="M5" s="10" t="n">
        <v>12578</v>
      </c>
      <c r="N5" s="10" t="n">
        <v>13975</v>
      </c>
      <c r="O5" s="10" t="n">
        <v>16770</v>
      </c>
      <c r="P5" s="10" t="n">
        <v>18168</v>
      </c>
      <c r="Q5" s="10" t="n">
        <v>19565</v>
      </c>
      <c r="R5" s="10" t="n">
        <v>20963</v>
      </c>
      <c r="S5" s="10" t="n">
        <v>20963</v>
      </c>
      <c r="T5" s="10" t="n">
        <v>20963</v>
      </c>
      <c r="U5" s="10" t="n">
        <v>20963</v>
      </c>
      <c r="V5" s="10" t="n">
        <v>20963</v>
      </c>
      <c r="W5" s="10" t="n">
        <v>20963</v>
      </c>
      <c r="X5" s="10" t="n">
        <v>20963</v>
      </c>
      <c r="Y5" s="10" t="n">
        <v>20963</v>
      </c>
      <c r="Z5" s="10" t="n">
        <v>19565</v>
      </c>
      <c r="AA5" s="10" t="n">
        <v>19565</v>
      </c>
      <c r="AB5" s="10" t="n">
        <v>19565</v>
      </c>
      <c r="AC5" s="10" t="n">
        <v>19565</v>
      </c>
      <c r="AD5" s="10" t="n">
        <v>19565</v>
      </c>
      <c r="AE5" s="10" t="n">
        <v>19563</v>
      </c>
      <c r="AF5" s="11">
        <f>SUM(B5:AE5)</f>
        <v/>
      </c>
    </row>
    <row r="6">
      <c r="A6" s="9" t="inlineStr">
        <is>
          <t>IP / entity / data</t>
        </is>
      </c>
      <c r="B6" s="10" t="n">
        <v>14610</v>
      </c>
      <c r="C6" s="10" t="n">
        <v>14610</v>
      </c>
      <c r="D6" s="10" t="n">
        <v>5844</v>
      </c>
      <c r="E6" s="10" t="n">
        <v>5844</v>
      </c>
      <c r="F6" s="10" t="n">
        <v>5844</v>
      </c>
      <c r="G6" s="10" t="n">
        <v>6818</v>
      </c>
      <c r="H6" s="10" t="n">
        <v>7792</v>
      </c>
      <c r="I6" s="10" t="n">
        <v>34091</v>
      </c>
      <c r="J6" s="10" t="n">
        <v>9740</v>
      </c>
      <c r="K6" s="10" t="n">
        <v>9740</v>
      </c>
      <c r="L6" s="10" t="n">
        <v>9740</v>
      </c>
      <c r="M6" s="10" t="n">
        <v>9740</v>
      </c>
      <c r="N6" s="10" t="n">
        <v>9740</v>
      </c>
      <c r="O6" s="10" t="n">
        <v>9740</v>
      </c>
      <c r="P6" s="10" t="n">
        <v>9740</v>
      </c>
      <c r="Q6" s="10" t="n">
        <v>9740</v>
      </c>
      <c r="R6" s="10" t="n">
        <v>9740</v>
      </c>
      <c r="S6" s="10" t="n">
        <v>9740</v>
      </c>
      <c r="T6" s="10" t="n">
        <v>9740</v>
      </c>
      <c r="U6" s="10" t="n">
        <v>9740</v>
      </c>
      <c r="V6" s="10" t="n">
        <v>9740</v>
      </c>
      <c r="W6" s="10" t="n">
        <v>9740</v>
      </c>
      <c r="X6" s="10" t="n">
        <v>9740</v>
      </c>
      <c r="Y6" s="10" t="n">
        <v>9740</v>
      </c>
      <c r="Z6" s="10" t="n">
        <v>8766</v>
      </c>
      <c r="AA6" s="10" t="n">
        <v>8766</v>
      </c>
      <c r="AB6" s="10" t="n">
        <v>7792</v>
      </c>
      <c r="AC6" s="10" t="n">
        <v>7792</v>
      </c>
      <c r="AD6" s="10" t="n">
        <v>7792</v>
      </c>
      <c r="AE6" s="10" t="n">
        <v>7799</v>
      </c>
      <c r="AF6" s="11">
        <f>SUM(B6:AE6)</f>
        <v/>
      </c>
    </row>
    <row r="7">
      <c r="A7" s="9" t="inlineStr">
        <is>
          <t>Legal</t>
        </is>
      </c>
      <c r="B7" s="10" t="n">
        <v>13393</v>
      </c>
      <c r="C7" s="10" t="n">
        <v>10714</v>
      </c>
      <c r="D7" s="10" t="n">
        <v>9643</v>
      </c>
      <c r="E7" s="10" t="n">
        <v>8036</v>
      </c>
      <c r="F7" s="10" t="n">
        <v>6964</v>
      </c>
      <c r="G7" s="10" t="n">
        <v>6429</v>
      </c>
      <c r="H7" s="10" t="n">
        <v>5357</v>
      </c>
      <c r="I7" s="10" t="n">
        <v>4821</v>
      </c>
      <c r="J7" s="10" t="n">
        <v>4821</v>
      </c>
      <c r="K7" s="10" t="n">
        <v>4286</v>
      </c>
      <c r="L7" s="10" t="n">
        <v>4286</v>
      </c>
      <c r="M7" s="10" t="n">
        <v>3750</v>
      </c>
      <c r="N7" s="10" t="n">
        <v>3750</v>
      </c>
      <c r="O7" s="10" t="n">
        <v>3750</v>
      </c>
      <c r="P7" s="10" t="n">
        <v>3750</v>
      </c>
      <c r="Q7" s="10" t="n">
        <v>3750</v>
      </c>
      <c r="R7" s="10" t="n">
        <v>3750</v>
      </c>
      <c r="S7" s="10" t="n">
        <v>3750</v>
      </c>
      <c r="T7" s="10" t="n">
        <v>3750</v>
      </c>
      <c r="U7" s="10" t="n">
        <v>3750</v>
      </c>
      <c r="V7" s="10" t="n">
        <v>3750</v>
      </c>
      <c r="W7" s="10" t="n">
        <v>3750</v>
      </c>
      <c r="X7" s="10" t="n">
        <v>3750</v>
      </c>
      <c r="Y7" s="10" t="n">
        <v>3750</v>
      </c>
      <c r="Z7" s="10" t="n">
        <v>3750</v>
      </c>
      <c r="AA7" s="10" t="n">
        <v>3750</v>
      </c>
      <c r="AB7" s="10" t="n">
        <v>3750</v>
      </c>
      <c r="AC7" s="10" t="n">
        <v>3750</v>
      </c>
      <c r="AD7" s="10" t="n">
        <v>3750</v>
      </c>
      <c r="AE7" s="10" t="n">
        <v>3750</v>
      </c>
      <c r="AF7" s="11">
        <f>SUM(B7:AE7)</f>
        <v/>
      </c>
    </row>
    <row r="8">
      <c r="A8" s="12" t="inlineStr">
        <is>
          <t>Monthly burn</t>
        </is>
      </c>
      <c r="B8" s="13">
        <f>SUM(B3:B7)</f>
        <v/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  <c r="G8" s="13">
        <f>SUM(G3:G7)</f>
        <v/>
      </c>
      <c r="H8" s="13">
        <f>SUM(H3:H7)</f>
        <v/>
      </c>
      <c r="I8" s="13">
        <f>SUM(I3:I7)</f>
        <v/>
      </c>
      <c r="J8" s="13">
        <f>SUM(J3:J7)</f>
        <v/>
      </c>
      <c r="K8" s="13">
        <f>SUM(K3:K7)</f>
        <v/>
      </c>
      <c r="L8" s="13">
        <f>SUM(L3:L7)</f>
        <v/>
      </c>
      <c r="M8" s="13">
        <f>SUM(M3:M7)</f>
        <v/>
      </c>
      <c r="N8" s="13">
        <f>SUM(N3:N7)</f>
        <v/>
      </c>
      <c r="O8" s="13">
        <f>SUM(O3:O7)</f>
        <v/>
      </c>
      <c r="P8" s="13">
        <f>SUM(P3:P7)</f>
        <v/>
      </c>
      <c r="Q8" s="13">
        <f>SUM(Q3:Q7)</f>
        <v/>
      </c>
      <c r="R8" s="13">
        <f>SUM(R3:R7)</f>
        <v/>
      </c>
      <c r="S8" s="13">
        <f>SUM(S3:S7)</f>
        <v/>
      </c>
      <c r="T8" s="13">
        <f>SUM(T3:T7)</f>
        <v/>
      </c>
      <c r="U8" s="13">
        <f>SUM(U3:U7)</f>
        <v/>
      </c>
      <c r="V8" s="13">
        <f>SUM(V3:V7)</f>
        <v/>
      </c>
      <c r="W8" s="13">
        <f>SUM(W3:W7)</f>
        <v/>
      </c>
      <c r="X8" s="13">
        <f>SUM(X3:X7)</f>
        <v/>
      </c>
      <c r="Y8" s="13">
        <f>SUM(Y3:Y7)</f>
        <v/>
      </c>
      <c r="Z8" s="13">
        <f>SUM(Z3:Z7)</f>
        <v/>
      </c>
      <c r="AA8" s="13">
        <f>SUM(AA3:AA7)</f>
        <v/>
      </c>
      <c r="AB8" s="13">
        <f>SUM(AB3:AB7)</f>
        <v/>
      </c>
      <c r="AC8" s="13">
        <f>SUM(AC3:AC7)</f>
        <v/>
      </c>
      <c r="AD8" s="13">
        <f>SUM(AD3:AD7)</f>
        <v/>
      </c>
      <c r="AE8" s="13">
        <f>SUM(AE3:AE7)</f>
        <v/>
      </c>
      <c r="AF8" s="14">
        <f>SUM(B8:AE8)</f>
        <v/>
      </c>
    </row>
    <row r="9">
      <c r="A9" s="2" t="inlineStr">
        <is>
          <t>Cash in</t>
        </is>
      </c>
      <c r="B9" s="10" t="n">
        <v>3000000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</row>
    <row r="10">
      <c r="A10" s="12" t="inlineStr">
        <is>
          <t>Running cash (end of month)</t>
        </is>
      </c>
      <c r="B10" s="15">
        <f>B9-B8</f>
        <v/>
      </c>
      <c r="C10" s="15">
        <f>B10+C9-C8</f>
        <v/>
      </c>
      <c r="D10" s="15">
        <f>C10+D9-D8</f>
        <v/>
      </c>
      <c r="E10" s="15">
        <f>D10+E9-E8</f>
        <v/>
      </c>
      <c r="F10" s="15">
        <f>E10+F9-F8</f>
        <v/>
      </c>
      <c r="G10" s="15">
        <f>F10+G9-G8</f>
        <v/>
      </c>
      <c r="H10" s="15">
        <f>G10+H9-H8</f>
        <v/>
      </c>
      <c r="I10" s="15">
        <f>H10+I9-I8</f>
        <v/>
      </c>
      <c r="J10" s="15">
        <f>I10+J9-J8</f>
        <v/>
      </c>
      <c r="K10" s="15">
        <f>J10+K9-K8</f>
        <v/>
      </c>
      <c r="L10" s="15">
        <f>K10+L9-L8</f>
        <v/>
      </c>
      <c r="M10" s="15">
        <f>L10+M9-M8</f>
        <v/>
      </c>
      <c r="N10" s="15">
        <f>M10+N9-N8</f>
        <v/>
      </c>
      <c r="O10" s="15">
        <f>N10+O9-O8</f>
        <v/>
      </c>
      <c r="P10" s="15">
        <f>O10+P9-P8</f>
        <v/>
      </c>
      <c r="Q10" s="15">
        <f>P10+Q9-Q8</f>
        <v/>
      </c>
      <c r="R10" s="15">
        <f>Q10+R9-R8</f>
        <v/>
      </c>
      <c r="S10" s="15">
        <f>R10+S9-S8</f>
        <v/>
      </c>
      <c r="T10" s="15">
        <f>S10+T9-T8</f>
        <v/>
      </c>
      <c r="U10" s="15">
        <f>T10+U9-U8</f>
        <v/>
      </c>
      <c r="V10" s="15">
        <f>U10+V9-V8</f>
        <v/>
      </c>
      <c r="W10" s="15">
        <f>V10+W9-W8</f>
        <v/>
      </c>
      <c r="X10" s="15">
        <f>W10+X9-X8</f>
        <v/>
      </c>
      <c r="Y10" s="15">
        <f>X10+Y9-Y8</f>
        <v/>
      </c>
      <c r="Z10" s="15">
        <f>Y10+Z9-Z8</f>
        <v/>
      </c>
      <c r="AA10" s="15">
        <f>Z10+AA9-AA8</f>
        <v/>
      </c>
      <c r="AB10" s="15">
        <f>AA10+AB9-AB8</f>
        <v/>
      </c>
      <c r="AC10" s="15">
        <f>AB10+AC9-AC8</f>
        <v/>
      </c>
      <c r="AD10" s="15">
        <f>AC10+AD9-AD8</f>
        <v/>
      </c>
      <c r="AE10" s="15">
        <f>AD10+AE9-AE8</f>
        <v/>
      </c>
    </row>
    <row r="11">
      <c r="A11" s="2" t="inlineStr">
        <is>
          <t>Runway months remaining</t>
        </is>
      </c>
      <c r="B11" s="16">
        <f>IFERROR(B10/B8,0)</f>
        <v/>
      </c>
      <c r="C11" s="16">
        <f>IFERROR(C10/C8,0)</f>
        <v/>
      </c>
      <c r="D11" s="16">
        <f>IFERROR(D10/AVERAGE(B8:D8),0)</f>
        <v/>
      </c>
      <c r="E11" s="16">
        <f>IFERROR(E10/AVERAGE(C8:E8),0)</f>
        <v/>
      </c>
      <c r="F11" s="16">
        <f>IFERROR(F10/AVERAGE(D8:F8),0)</f>
        <v/>
      </c>
      <c r="G11" s="16">
        <f>IFERROR(G10/AVERAGE(E8:G8),0)</f>
        <v/>
      </c>
      <c r="H11" s="16">
        <f>IFERROR(H10/AVERAGE(F8:H8),0)</f>
        <v/>
      </c>
      <c r="I11" s="16">
        <f>IFERROR(I10/AVERAGE(G8:I8),0)</f>
        <v/>
      </c>
      <c r="J11" s="16">
        <f>IFERROR(J10/AVERAGE(H8:J8),0)</f>
        <v/>
      </c>
      <c r="K11" s="16">
        <f>IFERROR(K10/AVERAGE(I8:K8),0)</f>
        <v/>
      </c>
      <c r="L11" s="16">
        <f>IFERROR(L10/AVERAGE(J8:L8),0)</f>
        <v/>
      </c>
      <c r="M11" s="16">
        <f>IFERROR(M10/AVERAGE(K8:M8),0)</f>
        <v/>
      </c>
      <c r="N11" s="16">
        <f>IFERROR(N10/AVERAGE(L8:N8),0)</f>
        <v/>
      </c>
      <c r="O11" s="16">
        <f>IFERROR(O10/AVERAGE(M8:O8),0)</f>
        <v/>
      </c>
      <c r="P11" s="16">
        <f>IFERROR(P10/AVERAGE(N8:P8),0)</f>
        <v/>
      </c>
      <c r="Q11" s="16">
        <f>IFERROR(Q10/AVERAGE(O8:Q8),0)</f>
        <v/>
      </c>
      <c r="R11" s="16">
        <f>IFERROR(R10/AVERAGE(P8:R8),0)</f>
        <v/>
      </c>
      <c r="S11" s="16">
        <f>IFERROR(S10/AVERAGE(Q8:S8),0)</f>
        <v/>
      </c>
      <c r="T11" s="16">
        <f>IFERROR(T10/AVERAGE(R8:T8),0)</f>
        <v/>
      </c>
      <c r="U11" s="16">
        <f>IFERROR(U10/AVERAGE(S8:U8),0)</f>
        <v/>
      </c>
      <c r="V11" s="16">
        <f>IFERROR(V10/AVERAGE(T8:V8),0)</f>
        <v/>
      </c>
      <c r="W11" s="16">
        <f>IFERROR(W10/AVERAGE(U8:W8),0)</f>
        <v/>
      </c>
      <c r="X11" s="16">
        <f>IFERROR(X10/AVERAGE(V8:X8),0)</f>
        <v/>
      </c>
      <c r="Y11" s="16">
        <f>IFERROR(Y10/AVERAGE(W8:Y8),0)</f>
        <v/>
      </c>
      <c r="Z11" s="16">
        <f>IFERROR(Z10/AVERAGE(X8:Z8),0)</f>
        <v/>
      </c>
      <c r="AA11" s="16">
        <f>IFERROR(AA10/AVERAGE(Y8:AA8),0)</f>
        <v/>
      </c>
      <c r="AB11" s="16">
        <f>IFERROR(AB10/AVERAGE(Z8:AB8),0)</f>
        <v/>
      </c>
      <c r="AC11" s="16">
        <f>IFERROR(AC10/AVERAGE(AA8:AC8),0)</f>
        <v/>
      </c>
      <c r="AD11" s="16">
        <f>IFERROR(AD10/AVERAGE(AB8:AD8),0)</f>
        <v/>
      </c>
      <c r="AE11" s="16">
        <f>IFERROR(AE10/AVERAGE(AC8:AE8),0)</f>
        <v/>
      </c>
    </row>
  </sheetData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Burn forecast assumptions</t>
        </is>
      </c>
    </row>
    <row r="3">
      <c r="A3" s="12" t="inlineStr">
        <is>
          <t>Pre-funding window</t>
        </is>
      </c>
      <c r="B3" s="9" t="inlineStr">
        <is>
          <t>Apr 2026 → Sep 2026 (5 months)</t>
        </is>
      </c>
    </row>
    <row r="4">
      <c r="A4" s="12" t="inlineStr">
        <is>
          <t>Pre-funding burn</t>
        </is>
      </c>
      <c r="B4" s="9" t="inlineStr">
        <is>
          <t>Founder-funded one-shots + recurring Workspace + Slack; reimbursed from Modulor account post-Mercury open.</t>
        </is>
      </c>
    </row>
    <row r="5">
      <c r="A5" s="12" t="inlineStr">
        <is>
          <t>Closing month</t>
        </is>
      </c>
      <c r="B5" s="9" t="inlineStr">
        <is>
          <t>September 2026 (target). Cash lands Mo 1 of post-funding.</t>
        </is>
      </c>
    </row>
    <row r="6">
      <c r="A6" s="12" t="inlineStr">
        <is>
          <t>Raise amount</t>
        </is>
      </c>
      <c r="B6" s="9" t="inlineStr">
        <is>
          <t>$3,000,000</t>
        </is>
      </c>
    </row>
    <row r="7">
      <c r="A7" s="12" t="inlineStr">
        <is>
          <t>Horizon</t>
        </is>
      </c>
      <c r="B7" s="9" t="inlineStr">
        <is>
          <t>30 months post-funding</t>
        </is>
      </c>
    </row>
    <row r="8">
      <c r="A8" s="12" t="inlineStr">
        <is>
          <t>Allocation</t>
        </is>
      </c>
      <c r="B8" s="9" t="inlineStr">
        <is>
          <t>Per CLAUDE.md priorities (40/30/15/10/5)</t>
        </is>
      </c>
    </row>
    <row r="9">
      <c r="A9" s="12" t="inlineStr">
        <is>
          <t>Phasing</t>
        </is>
      </c>
      <c r="B9" s="9" t="inlineStr">
        <is>
          <t>See PHASING dict in scripts/build_finance_models.py — edit + rerun to reshape</t>
        </is>
      </c>
    </row>
    <row r="10">
      <c r="A10" s="12" t="inlineStr">
        <is>
          <t>Runway formula</t>
        </is>
      </c>
      <c r="B10" s="9" t="inlineStr">
        <is>
          <t>Running cash / trailing 3-month avg burn (cell of current month)</t>
        </is>
      </c>
    </row>
    <row r="11">
      <c r="A11" s="12" t="inlineStr">
        <is>
          <t>Refresh cadence</t>
        </is>
      </c>
      <c r="B11" s="9" t="inlineStr">
        <is>
          <t>Update monthly on the 1st alongside Mercury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2026-04-27T21:35:55Z</dcterms:created>
  <dcterms:modified xmlns:dcterms="http://purl.org/dc/terms/" xmlns:xsi="http://www.w3.org/2001/XMLSchema-instance" xsi:type="dcterms:W3CDTF">2026-04-27T21:35:55Z</dcterms:modified>
</cp:coreProperties>
</file>