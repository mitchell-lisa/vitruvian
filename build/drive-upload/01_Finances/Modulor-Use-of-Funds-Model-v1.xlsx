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  <sheet xmlns:r="http://schemas.openxmlformats.org/officeDocument/2006/relationships" name="Monthly Deployment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[Red]_($* (#,##0);_($* &quot;-&quot;??_);_(@_)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E4C3D"/>
      <sz val="18"/>
    </font>
    <font>
      <name val="Calibri"/>
      <i val="1"/>
      <color rgb="00666666"/>
      <sz val="10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4C3D"/>
      </patternFill>
    </fill>
    <fill>
      <patternFill patternType="solid">
        <fgColor rgb="00F2F2F2"/>
      </patternFill>
    </fill>
    <fill>
      <patternFill patternType="solid">
        <fgColor rgb="00DCE7D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164" fontId="4" fillId="3" borderId="0" pivotButton="0" quotePrefix="0" xfId="0"/>
    <xf numFmtId="164" fontId="4" fillId="4" borderId="0" pivotButton="0" quotePrefix="0" xfId="0"/>
    <xf numFmtId="164" fontId="5" fillId="4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80" customWidth="1" min="4" max="4"/>
  </cols>
  <sheetData>
    <row r="1">
      <c r="A1" s="1" t="inlineStr">
        <is>
          <t>Modulor, Inc. — $3M Use of Funds (Model v1)</t>
        </is>
      </c>
    </row>
    <row r="2">
      <c r="A2" s="2" t="inlineStr">
        <is>
          <t>Target raise: $3,000,000 · target close Sep 2026 · 30-month runway · $100,000/mo avg burn</t>
        </is>
      </c>
    </row>
    <row r="4">
      <c r="A4" s="3" t="inlineStr">
        <is>
          <t>Category</t>
        </is>
      </c>
      <c r="B4" s="3" t="inlineStr">
        <is>
          <t>Amount</t>
        </is>
      </c>
      <c r="C4" s="3" t="inlineStr">
        <is>
          <t>% of raise</t>
        </is>
      </c>
      <c r="D4" s="3" t="inlineStr">
        <is>
          <t>Drivers</t>
        </is>
      </c>
    </row>
    <row r="5">
      <c r="A5" s="4" t="inlineStr">
        <is>
          <t>Hardware prototyping</t>
        </is>
      </c>
      <c r="B5" s="5" t="n">
        <v>1200000</v>
      </c>
      <c r="C5" s="6" t="n">
        <v>0.4</v>
      </c>
      <c r="D5" s="7" t="inlineStr">
        <is>
          <t>Engineering firm fees (Mo 1–9), 3–5 prototype iterations, BOM, testing rigs, pilot-site units</t>
        </is>
      </c>
    </row>
    <row r="6">
      <c r="A6" s="4" t="inlineStr">
        <is>
          <t>Engineering</t>
        </is>
      </c>
      <c r="B6" s="5" t="n">
        <v>900000</v>
      </c>
      <c r="C6" s="6" t="n">
        <v>0.3</v>
      </c>
      <c r="D6" s="7" t="inlineStr">
        <is>
          <t>Contracted firmware/ML (Mo 1–6), FT engineering hire #1 (Mo 6+), sensor integration, app dev</t>
        </is>
      </c>
    </row>
    <row r="7">
      <c r="A7" s="4" t="inlineStr">
        <is>
          <t>Go-to-market</t>
        </is>
      </c>
      <c r="B7" s="5" t="n">
        <v>450000</v>
      </c>
      <c r="C7" s="6" t="n">
        <v>0.15</v>
      </c>
      <c r="D7" s="7" t="inlineStr">
        <is>
          <t>Pilot-site outfitting, sales materials, conference presence, first BD hire (Mo 12+)</t>
        </is>
      </c>
    </row>
    <row r="8">
      <c r="A8" s="4" t="inlineStr">
        <is>
          <t>IP / entity / data</t>
        </is>
      </c>
      <c r="B8" s="5" t="n">
        <v>300000</v>
      </c>
      <c r="C8" s="6" t="n">
        <v>0.1</v>
      </c>
      <c r="D8" s="7" t="inlineStr">
        <is>
          <t>Patent non-prov conversion (Mo 8), trademark, data licensing infra, additional provisionals</t>
        </is>
      </c>
    </row>
    <row r="9">
      <c r="A9" s="4" t="inlineStr">
        <is>
          <t>Legal</t>
        </is>
      </c>
      <c r="B9" s="5" t="n">
        <v>150000</v>
      </c>
      <c r="C9" s="6" t="n">
        <v>0.05</v>
      </c>
      <c r="D9" s="7" t="inlineStr">
        <is>
          <t>Outside counsel retainer, term-sheet redlines, board/governance, ongoing IP support</t>
        </is>
      </c>
    </row>
    <row r="10">
      <c r="A10" s="8" t="inlineStr">
        <is>
          <t>Total</t>
        </is>
      </c>
      <c r="B10" s="9">
        <f>SUM(B5:B9)</f>
        <v/>
      </c>
      <c r="C10" s="10">
        <f>SUM(C5:C9)</f>
        <v/>
      </c>
      <c r="D10" s="11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1">
      <c r="A1" s="12" t="inlineStr">
        <is>
          <t>Monthly deployment — Mo 1 = Sep 2026, $ to nearest $1</t>
        </is>
      </c>
    </row>
    <row r="2" ht="32" customHeight="1">
      <c r="A2" s="3" t="inlineStr">
        <is>
          <t>Category</t>
        </is>
      </c>
      <c r="B2" s="3" t="inlineStr">
        <is>
          <t>Mo 1
Sep 26</t>
        </is>
      </c>
      <c r="C2" s="3" t="inlineStr">
        <is>
          <t>Mo 2
Oct 26</t>
        </is>
      </c>
      <c r="D2" s="3" t="inlineStr">
        <is>
          <t>Mo 3
Nov 26</t>
        </is>
      </c>
      <c r="E2" s="3" t="inlineStr">
        <is>
          <t>Mo 4
Dec 26</t>
        </is>
      </c>
      <c r="F2" s="3" t="inlineStr">
        <is>
          <t>Mo 5
Jan 27</t>
        </is>
      </c>
      <c r="G2" s="3" t="inlineStr">
        <is>
          <t>Mo 6
Feb 27</t>
        </is>
      </c>
      <c r="H2" s="3" t="inlineStr">
        <is>
          <t>Mo 7
Mar 27</t>
        </is>
      </c>
      <c r="I2" s="3" t="inlineStr">
        <is>
          <t>Mo 8
Apr 27</t>
        </is>
      </c>
      <c r="J2" s="3" t="inlineStr">
        <is>
          <t>Mo 9
May 27</t>
        </is>
      </c>
      <c r="K2" s="3" t="inlineStr">
        <is>
          <t>Mo 10
Jun 27</t>
        </is>
      </c>
      <c r="L2" s="3" t="inlineStr">
        <is>
          <t>Mo 11
Jul 27</t>
        </is>
      </c>
      <c r="M2" s="3" t="inlineStr">
        <is>
          <t>Mo 12
Aug 27</t>
        </is>
      </c>
      <c r="N2" s="3" t="inlineStr">
        <is>
          <t>Mo 13
Sep 27</t>
        </is>
      </c>
      <c r="O2" s="3" t="inlineStr">
        <is>
          <t>Mo 14
Oct 27</t>
        </is>
      </c>
      <c r="P2" s="3" t="inlineStr">
        <is>
          <t>Mo 15
Nov 27</t>
        </is>
      </c>
      <c r="Q2" s="3" t="inlineStr">
        <is>
          <t>Mo 16
Dec 27</t>
        </is>
      </c>
      <c r="R2" s="3" t="inlineStr">
        <is>
          <t>Mo 17
Jan 28</t>
        </is>
      </c>
      <c r="S2" s="3" t="inlineStr">
        <is>
          <t>Mo 18
Feb 28</t>
        </is>
      </c>
      <c r="T2" s="3" t="inlineStr">
        <is>
          <t>Mo 19
Mar 28</t>
        </is>
      </c>
      <c r="U2" s="3" t="inlineStr">
        <is>
          <t>Mo 20
Apr 28</t>
        </is>
      </c>
      <c r="V2" s="3" t="inlineStr">
        <is>
          <t>Mo 21
May 28</t>
        </is>
      </c>
      <c r="W2" s="3" t="inlineStr">
        <is>
          <t>Mo 22
Jun 28</t>
        </is>
      </c>
      <c r="X2" s="3" t="inlineStr">
        <is>
          <t>Mo 23
Jul 28</t>
        </is>
      </c>
      <c r="Y2" s="3" t="inlineStr">
        <is>
          <t>Mo 24
Aug 28</t>
        </is>
      </c>
      <c r="Z2" s="3" t="inlineStr">
        <is>
          <t>Mo 25
Sep 28</t>
        </is>
      </c>
      <c r="AA2" s="3" t="inlineStr">
        <is>
          <t>Mo 26
Oct 28</t>
        </is>
      </c>
      <c r="AB2" s="3" t="inlineStr">
        <is>
          <t>Mo 27
Nov 28</t>
        </is>
      </c>
      <c r="AC2" s="3" t="inlineStr">
        <is>
          <t>Mo 28
Dec 28</t>
        </is>
      </c>
      <c r="AD2" s="3" t="inlineStr">
        <is>
          <t>Mo 29
Jan 29</t>
        </is>
      </c>
      <c r="AE2" s="3" t="inlineStr">
        <is>
          <t>Mo 30
Feb 29</t>
        </is>
      </c>
      <c r="AF2" s="3" t="inlineStr">
        <is>
          <t>Total</t>
        </is>
      </c>
    </row>
    <row r="3">
      <c r="A3" s="13" t="inlineStr">
        <is>
          <t>Hardware prototyping</t>
        </is>
      </c>
      <c r="B3" s="14" t="n">
        <v>84906</v>
      </c>
      <c r="C3" s="14" t="n">
        <v>90566</v>
      </c>
      <c r="D3" s="14" t="n">
        <v>96226</v>
      </c>
      <c r="E3" s="14" t="n">
        <v>96226</v>
      </c>
      <c r="F3" s="14" t="n">
        <v>90566</v>
      </c>
      <c r="G3" s="14" t="n">
        <v>84906</v>
      </c>
      <c r="H3" s="14" t="n">
        <v>79245</v>
      </c>
      <c r="I3" s="14" t="n">
        <v>67925</v>
      </c>
      <c r="J3" s="14" t="n">
        <v>56604</v>
      </c>
      <c r="K3" s="14" t="n">
        <v>39623</v>
      </c>
      <c r="L3" s="14" t="n">
        <v>33962</v>
      </c>
      <c r="M3" s="14" t="n">
        <v>33962</v>
      </c>
      <c r="N3" s="14" t="n">
        <v>28302</v>
      </c>
      <c r="O3" s="14" t="n">
        <v>28302</v>
      </c>
      <c r="P3" s="14" t="n">
        <v>22642</v>
      </c>
      <c r="Q3" s="14" t="n">
        <v>22642</v>
      </c>
      <c r="R3" s="14" t="n">
        <v>22642</v>
      </c>
      <c r="S3" s="14" t="n">
        <v>16981</v>
      </c>
      <c r="T3" s="14" t="n">
        <v>16981</v>
      </c>
      <c r="U3" s="14" t="n">
        <v>16981</v>
      </c>
      <c r="V3" s="14" t="n">
        <v>16981</v>
      </c>
      <c r="W3" s="14" t="n">
        <v>16981</v>
      </c>
      <c r="X3" s="14" t="n">
        <v>16981</v>
      </c>
      <c r="Y3" s="14" t="n">
        <v>16981</v>
      </c>
      <c r="Z3" s="14" t="n">
        <v>16981</v>
      </c>
      <c r="AA3" s="14" t="n">
        <v>16981</v>
      </c>
      <c r="AB3" s="14" t="n">
        <v>16981</v>
      </c>
      <c r="AC3" s="14" t="n">
        <v>16981</v>
      </c>
      <c r="AD3" s="14" t="n">
        <v>16981</v>
      </c>
      <c r="AE3" s="14" t="n">
        <v>16981</v>
      </c>
      <c r="AF3" s="15">
        <f>SUM(B3:AE3)</f>
        <v/>
      </c>
    </row>
    <row r="4">
      <c r="A4" s="13" t="inlineStr">
        <is>
          <t>Engineering</t>
        </is>
      </c>
      <c r="B4" s="14" t="n">
        <v>17476</v>
      </c>
      <c r="C4" s="14" t="n">
        <v>20388</v>
      </c>
      <c r="D4" s="14" t="n">
        <v>23301</v>
      </c>
      <c r="E4" s="14" t="n">
        <v>26214</v>
      </c>
      <c r="F4" s="14" t="n">
        <v>26214</v>
      </c>
      <c r="G4" s="14" t="n">
        <v>29126</v>
      </c>
      <c r="H4" s="14" t="n">
        <v>32039</v>
      </c>
      <c r="I4" s="14" t="n">
        <v>32039</v>
      </c>
      <c r="J4" s="14" t="n">
        <v>32039</v>
      </c>
      <c r="K4" s="14" t="n">
        <v>32039</v>
      </c>
      <c r="L4" s="14" t="n">
        <v>34951</v>
      </c>
      <c r="M4" s="14" t="n">
        <v>34951</v>
      </c>
      <c r="N4" s="14" t="n">
        <v>34951</v>
      </c>
      <c r="O4" s="14" t="n">
        <v>34951</v>
      </c>
      <c r="P4" s="14" t="n">
        <v>34951</v>
      </c>
      <c r="Q4" s="14" t="n">
        <v>34951</v>
      </c>
      <c r="R4" s="14" t="n">
        <v>32039</v>
      </c>
      <c r="S4" s="14" t="n">
        <v>32039</v>
      </c>
      <c r="T4" s="14" t="n">
        <v>32039</v>
      </c>
      <c r="U4" s="14" t="n">
        <v>32039</v>
      </c>
      <c r="V4" s="14" t="n">
        <v>29126</v>
      </c>
      <c r="W4" s="14" t="n">
        <v>29126</v>
      </c>
      <c r="X4" s="14" t="n">
        <v>29126</v>
      </c>
      <c r="Y4" s="14" t="n">
        <v>29126</v>
      </c>
      <c r="Z4" s="14" t="n">
        <v>29126</v>
      </c>
      <c r="AA4" s="14" t="n">
        <v>29126</v>
      </c>
      <c r="AB4" s="14" t="n">
        <v>29126</v>
      </c>
      <c r="AC4" s="14" t="n">
        <v>29126</v>
      </c>
      <c r="AD4" s="14" t="n">
        <v>29126</v>
      </c>
      <c r="AE4" s="14" t="n">
        <v>29129</v>
      </c>
      <c r="AF4" s="15">
        <f>SUM(B4:AE4)</f>
        <v/>
      </c>
    </row>
    <row r="5">
      <c r="A5" s="13" t="inlineStr">
        <is>
          <t>Go-to-market</t>
        </is>
      </c>
      <c r="B5" s="14" t="n">
        <v>5590</v>
      </c>
      <c r="C5" s="14" t="n">
        <v>5590</v>
      </c>
      <c r="D5" s="14" t="n">
        <v>5590</v>
      </c>
      <c r="E5" s="14" t="n">
        <v>5590</v>
      </c>
      <c r="F5" s="14" t="n">
        <v>6988</v>
      </c>
      <c r="G5" s="14" t="n">
        <v>6988</v>
      </c>
      <c r="H5" s="14" t="n">
        <v>8385</v>
      </c>
      <c r="I5" s="14" t="n">
        <v>8385</v>
      </c>
      <c r="J5" s="14" t="n">
        <v>9783</v>
      </c>
      <c r="K5" s="14" t="n">
        <v>9783</v>
      </c>
      <c r="L5" s="14" t="n">
        <v>11180</v>
      </c>
      <c r="M5" s="14" t="n">
        <v>12578</v>
      </c>
      <c r="N5" s="14" t="n">
        <v>13975</v>
      </c>
      <c r="O5" s="14" t="n">
        <v>16770</v>
      </c>
      <c r="P5" s="14" t="n">
        <v>18168</v>
      </c>
      <c r="Q5" s="14" t="n">
        <v>19565</v>
      </c>
      <c r="R5" s="14" t="n">
        <v>20963</v>
      </c>
      <c r="S5" s="14" t="n">
        <v>20963</v>
      </c>
      <c r="T5" s="14" t="n">
        <v>20963</v>
      </c>
      <c r="U5" s="14" t="n">
        <v>20963</v>
      </c>
      <c r="V5" s="14" t="n">
        <v>20963</v>
      </c>
      <c r="W5" s="14" t="n">
        <v>20963</v>
      </c>
      <c r="X5" s="14" t="n">
        <v>20963</v>
      </c>
      <c r="Y5" s="14" t="n">
        <v>20963</v>
      </c>
      <c r="Z5" s="14" t="n">
        <v>19565</v>
      </c>
      <c r="AA5" s="14" t="n">
        <v>19565</v>
      </c>
      <c r="AB5" s="14" t="n">
        <v>19565</v>
      </c>
      <c r="AC5" s="14" t="n">
        <v>19565</v>
      </c>
      <c r="AD5" s="14" t="n">
        <v>19565</v>
      </c>
      <c r="AE5" s="14" t="n">
        <v>19563</v>
      </c>
      <c r="AF5" s="15">
        <f>SUM(B5:AE5)</f>
        <v/>
      </c>
    </row>
    <row r="6">
      <c r="A6" s="13" t="inlineStr">
        <is>
          <t>IP / entity / data</t>
        </is>
      </c>
      <c r="B6" s="14" t="n">
        <v>14610</v>
      </c>
      <c r="C6" s="14" t="n">
        <v>14610</v>
      </c>
      <c r="D6" s="14" t="n">
        <v>5844</v>
      </c>
      <c r="E6" s="14" t="n">
        <v>5844</v>
      </c>
      <c r="F6" s="14" t="n">
        <v>5844</v>
      </c>
      <c r="G6" s="14" t="n">
        <v>6818</v>
      </c>
      <c r="H6" s="14" t="n">
        <v>7792</v>
      </c>
      <c r="I6" s="14" t="n">
        <v>34091</v>
      </c>
      <c r="J6" s="14" t="n">
        <v>9740</v>
      </c>
      <c r="K6" s="14" t="n">
        <v>9740</v>
      </c>
      <c r="L6" s="14" t="n">
        <v>9740</v>
      </c>
      <c r="M6" s="14" t="n">
        <v>9740</v>
      </c>
      <c r="N6" s="14" t="n">
        <v>9740</v>
      </c>
      <c r="O6" s="14" t="n">
        <v>9740</v>
      </c>
      <c r="P6" s="14" t="n">
        <v>9740</v>
      </c>
      <c r="Q6" s="14" t="n">
        <v>9740</v>
      </c>
      <c r="R6" s="14" t="n">
        <v>9740</v>
      </c>
      <c r="S6" s="14" t="n">
        <v>9740</v>
      </c>
      <c r="T6" s="14" t="n">
        <v>9740</v>
      </c>
      <c r="U6" s="14" t="n">
        <v>9740</v>
      </c>
      <c r="V6" s="14" t="n">
        <v>9740</v>
      </c>
      <c r="W6" s="14" t="n">
        <v>9740</v>
      </c>
      <c r="X6" s="14" t="n">
        <v>9740</v>
      </c>
      <c r="Y6" s="14" t="n">
        <v>9740</v>
      </c>
      <c r="Z6" s="14" t="n">
        <v>8766</v>
      </c>
      <c r="AA6" s="14" t="n">
        <v>8766</v>
      </c>
      <c r="AB6" s="14" t="n">
        <v>7792</v>
      </c>
      <c r="AC6" s="14" t="n">
        <v>7792</v>
      </c>
      <c r="AD6" s="14" t="n">
        <v>7792</v>
      </c>
      <c r="AE6" s="14" t="n">
        <v>7799</v>
      </c>
      <c r="AF6" s="15">
        <f>SUM(B6:AE6)</f>
        <v/>
      </c>
    </row>
    <row r="7">
      <c r="A7" s="13" t="inlineStr">
        <is>
          <t>Legal</t>
        </is>
      </c>
      <c r="B7" s="14" t="n">
        <v>13393</v>
      </c>
      <c r="C7" s="14" t="n">
        <v>10714</v>
      </c>
      <c r="D7" s="14" t="n">
        <v>9643</v>
      </c>
      <c r="E7" s="14" t="n">
        <v>8036</v>
      </c>
      <c r="F7" s="14" t="n">
        <v>6964</v>
      </c>
      <c r="G7" s="14" t="n">
        <v>6429</v>
      </c>
      <c r="H7" s="14" t="n">
        <v>5357</v>
      </c>
      <c r="I7" s="14" t="n">
        <v>4821</v>
      </c>
      <c r="J7" s="14" t="n">
        <v>4821</v>
      </c>
      <c r="K7" s="14" t="n">
        <v>4286</v>
      </c>
      <c r="L7" s="14" t="n">
        <v>4286</v>
      </c>
      <c r="M7" s="14" t="n">
        <v>3750</v>
      </c>
      <c r="N7" s="14" t="n">
        <v>3750</v>
      </c>
      <c r="O7" s="14" t="n">
        <v>3750</v>
      </c>
      <c r="P7" s="14" t="n">
        <v>3750</v>
      </c>
      <c r="Q7" s="14" t="n">
        <v>3750</v>
      </c>
      <c r="R7" s="14" t="n">
        <v>3750</v>
      </c>
      <c r="S7" s="14" t="n">
        <v>3750</v>
      </c>
      <c r="T7" s="14" t="n">
        <v>3750</v>
      </c>
      <c r="U7" s="14" t="n">
        <v>3750</v>
      </c>
      <c r="V7" s="14" t="n">
        <v>3750</v>
      </c>
      <c r="W7" s="14" t="n">
        <v>3750</v>
      </c>
      <c r="X7" s="14" t="n">
        <v>3750</v>
      </c>
      <c r="Y7" s="14" t="n">
        <v>3750</v>
      </c>
      <c r="Z7" s="14" t="n">
        <v>3750</v>
      </c>
      <c r="AA7" s="14" t="n">
        <v>3750</v>
      </c>
      <c r="AB7" s="14" t="n">
        <v>3750</v>
      </c>
      <c r="AC7" s="14" t="n">
        <v>3750</v>
      </c>
      <c r="AD7" s="14" t="n">
        <v>3750</v>
      </c>
      <c r="AE7" s="14" t="n">
        <v>3750</v>
      </c>
      <c r="AF7" s="15">
        <f>SUM(B7:AE7)</f>
        <v/>
      </c>
    </row>
    <row r="8">
      <c r="A8" s="13" t="inlineStr">
        <is>
          <t>Monthly burn</t>
        </is>
      </c>
      <c r="B8" s="16">
        <f>SUM(B3:B7)</f>
        <v/>
      </c>
      <c r="C8" s="16">
        <f>SUM(C3:C7)</f>
        <v/>
      </c>
      <c r="D8" s="16">
        <f>SUM(D3:D7)</f>
        <v/>
      </c>
      <c r="E8" s="16">
        <f>SUM(E3:E7)</f>
        <v/>
      </c>
      <c r="F8" s="16">
        <f>SUM(F3:F7)</f>
        <v/>
      </c>
      <c r="G8" s="16">
        <f>SUM(G3:G7)</f>
        <v/>
      </c>
      <c r="H8" s="16">
        <f>SUM(H3:H7)</f>
        <v/>
      </c>
      <c r="I8" s="16">
        <f>SUM(I3:I7)</f>
        <v/>
      </c>
      <c r="J8" s="16">
        <f>SUM(J3:J7)</f>
        <v/>
      </c>
      <c r="K8" s="16">
        <f>SUM(K3:K7)</f>
        <v/>
      </c>
      <c r="L8" s="16">
        <f>SUM(L3:L7)</f>
        <v/>
      </c>
      <c r="M8" s="16">
        <f>SUM(M3:M7)</f>
        <v/>
      </c>
      <c r="N8" s="16">
        <f>SUM(N3:N7)</f>
        <v/>
      </c>
      <c r="O8" s="16">
        <f>SUM(O3:O7)</f>
        <v/>
      </c>
      <c r="P8" s="16">
        <f>SUM(P3:P7)</f>
        <v/>
      </c>
      <c r="Q8" s="16">
        <f>SUM(Q3:Q7)</f>
        <v/>
      </c>
      <c r="R8" s="16">
        <f>SUM(R3:R7)</f>
        <v/>
      </c>
      <c r="S8" s="16">
        <f>SUM(S3:S7)</f>
        <v/>
      </c>
      <c r="T8" s="16">
        <f>SUM(T3:T7)</f>
        <v/>
      </c>
      <c r="U8" s="16">
        <f>SUM(U3:U7)</f>
        <v/>
      </c>
      <c r="V8" s="16">
        <f>SUM(V3:V7)</f>
        <v/>
      </c>
      <c r="W8" s="16">
        <f>SUM(W3:W7)</f>
        <v/>
      </c>
      <c r="X8" s="16">
        <f>SUM(X3:X7)</f>
        <v/>
      </c>
      <c r="Y8" s="16">
        <f>SUM(Y3:Y7)</f>
        <v/>
      </c>
      <c r="Z8" s="16">
        <f>SUM(Z3:Z7)</f>
        <v/>
      </c>
      <c r="AA8" s="16">
        <f>SUM(AA3:AA7)</f>
        <v/>
      </c>
      <c r="AB8" s="16">
        <f>SUM(AB3:AB7)</f>
        <v/>
      </c>
      <c r="AC8" s="16">
        <f>SUM(AC3:AC7)</f>
        <v/>
      </c>
      <c r="AD8" s="16">
        <f>SUM(AD3:AD7)</f>
        <v/>
      </c>
      <c r="AE8" s="16">
        <f>SUM(AE3:AE7)</f>
        <v/>
      </c>
      <c r="AF8" s="17">
        <f>SUM(B8:AE8)</f>
        <v/>
      </c>
    </row>
    <row r="9">
      <c r="A9" s="2" t="inlineStr">
        <is>
          <t>Cumulative spend</t>
        </is>
      </c>
      <c r="B9" s="18">
        <f>B8</f>
        <v/>
      </c>
      <c r="C9" s="18">
        <f>B9+C8</f>
        <v/>
      </c>
      <c r="D9" s="18">
        <f>C9+D8</f>
        <v/>
      </c>
      <c r="E9" s="18">
        <f>D9+E8</f>
        <v/>
      </c>
      <c r="F9" s="18">
        <f>E9+F8</f>
        <v/>
      </c>
      <c r="G9" s="18">
        <f>F9+G8</f>
        <v/>
      </c>
      <c r="H9" s="18">
        <f>G9+H8</f>
        <v/>
      </c>
      <c r="I9" s="18">
        <f>H9+I8</f>
        <v/>
      </c>
      <c r="J9" s="18">
        <f>I9+J8</f>
        <v/>
      </c>
      <c r="K9" s="18">
        <f>J9+K8</f>
        <v/>
      </c>
      <c r="L9" s="18">
        <f>K9+L8</f>
        <v/>
      </c>
      <c r="M9" s="18">
        <f>L9+M8</f>
        <v/>
      </c>
      <c r="N9" s="18">
        <f>M9+N8</f>
        <v/>
      </c>
      <c r="O9" s="18">
        <f>N9+O8</f>
        <v/>
      </c>
      <c r="P9" s="18">
        <f>O9+P8</f>
        <v/>
      </c>
      <c r="Q9" s="18">
        <f>P9+Q8</f>
        <v/>
      </c>
      <c r="R9" s="18">
        <f>Q9+R8</f>
        <v/>
      </c>
      <c r="S9" s="18">
        <f>R9+S8</f>
        <v/>
      </c>
      <c r="T9" s="18">
        <f>S9+T8</f>
        <v/>
      </c>
      <c r="U9" s="18">
        <f>T9+U8</f>
        <v/>
      </c>
      <c r="V9" s="18">
        <f>U9+V8</f>
        <v/>
      </c>
      <c r="W9" s="18">
        <f>V9+W8</f>
        <v/>
      </c>
      <c r="X9" s="18">
        <f>W9+X8</f>
        <v/>
      </c>
      <c r="Y9" s="18">
        <f>X9+Y8</f>
        <v/>
      </c>
      <c r="Z9" s="18">
        <f>Y9+Z8</f>
        <v/>
      </c>
      <c r="AA9" s="18">
        <f>Z9+AA8</f>
        <v/>
      </c>
      <c r="AB9" s="18">
        <f>AA9+AB8</f>
        <v/>
      </c>
      <c r="AC9" s="18">
        <f>AB9+AC8</f>
        <v/>
      </c>
      <c r="AD9" s="18">
        <f>AC9+AD8</f>
        <v/>
      </c>
      <c r="AE9" s="18">
        <f>AD9+AE8</f>
        <v/>
      </c>
    </row>
    <row r="10">
      <c r="A10" s="2" t="inlineStr">
        <is>
          <t>Cash remaining</t>
        </is>
      </c>
      <c r="B10" s="18">
        <f>3000000-B9</f>
        <v/>
      </c>
      <c r="C10" s="18">
        <f>3000000-C9</f>
        <v/>
      </c>
      <c r="D10" s="18">
        <f>3000000-D9</f>
        <v/>
      </c>
      <c r="E10" s="18">
        <f>3000000-E9</f>
        <v/>
      </c>
      <c r="F10" s="18">
        <f>3000000-F9</f>
        <v/>
      </c>
      <c r="G10" s="18">
        <f>3000000-G9</f>
        <v/>
      </c>
      <c r="H10" s="18">
        <f>3000000-H9</f>
        <v/>
      </c>
      <c r="I10" s="18">
        <f>3000000-I9</f>
        <v/>
      </c>
      <c r="J10" s="18">
        <f>3000000-J9</f>
        <v/>
      </c>
      <c r="K10" s="18">
        <f>3000000-K9</f>
        <v/>
      </c>
      <c r="L10" s="18">
        <f>3000000-L9</f>
        <v/>
      </c>
      <c r="M10" s="18">
        <f>3000000-M9</f>
        <v/>
      </c>
      <c r="N10" s="18">
        <f>3000000-N9</f>
        <v/>
      </c>
      <c r="O10" s="18">
        <f>3000000-O9</f>
        <v/>
      </c>
      <c r="P10" s="18">
        <f>3000000-P9</f>
        <v/>
      </c>
      <c r="Q10" s="18">
        <f>3000000-Q9</f>
        <v/>
      </c>
      <c r="R10" s="18">
        <f>3000000-R9</f>
        <v/>
      </c>
      <c r="S10" s="18">
        <f>3000000-S9</f>
        <v/>
      </c>
      <c r="T10" s="18">
        <f>3000000-T9</f>
        <v/>
      </c>
      <c r="U10" s="18">
        <f>3000000-U9</f>
        <v/>
      </c>
      <c r="V10" s="18">
        <f>3000000-V9</f>
        <v/>
      </c>
      <c r="W10" s="18">
        <f>3000000-W9</f>
        <v/>
      </c>
      <c r="X10" s="18">
        <f>3000000-X9</f>
        <v/>
      </c>
      <c r="Y10" s="18">
        <f>3000000-Y9</f>
        <v/>
      </c>
      <c r="Z10" s="18">
        <f>3000000-Z9</f>
        <v/>
      </c>
      <c r="AA10" s="18">
        <f>3000000-AA9</f>
        <v/>
      </c>
      <c r="AB10" s="18">
        <f>3000000-AB9</f>
        <v/>
      </c>
      <c r="AC10" s="18">
        <f>3000000-AC9</f>
        <v/>
      </c>
      <c r="AD10" s="18">
        <f>3000000-AD9</f>
        <v/>
      </c>
      <c r="AE10" s="18">
        <f>3000000-AE9</f>
        <v/>
      </c>
    </row>
  </sheetData>
  <mergeCells count="1">
    <mergeCell ref="A1:A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2" t="inlineStr">
        <is>
          <t>Assumptions (edit + rerun script to update)</t>
        </is>
      </c>
    </row>
    <row r="3">
      <c r="A3" s="13" t="inlineStr">
        <is>
          <t>Raise amount</t>
        </is>
      </c>
      <c r="B3" s="19" t="inlineStr">
        <is>
          <t>$3,000,000</t>
        </is>
      </c>
    </row>
    <row r="4">
      <c r="A4" s="13" t="inlineStr">
        <is>
          <t>Target close</t>
        </is>
      </c>
      <c r="B4" s="19" t="inlineStr">
        <is>
          <t>September 2026</t>
        </is>
      </c>
    </row>
    <row r="5">
      <c r="A5" s="13" t="inlineStr">
        <is>
          <t>Horizon</t>
        </is>
      </c>
      <c r="B5" s="19" t="inlineStr">
        <is>
          <t>30 months</t>
        </is>
      </c>
    </row>
    <row r="6">
      <c r="A6" s="13" t="inlineStr">
        <is>
          <t>Avg monthly burn</t>
        </is>
      </c>
      <c r="B6" s="19" t="inlineStr">
        <is>
          <t>$100,000</t>
        </is>
      </c>
    </row>
    <row r="7">
      <c r="A7" s="13" t="inlineStr">
        <is>
          <t>Allocation source</t>
        </is>
      </c>
      <c r="B7" s="19" t="inlineStr">
        <is>
          <t>CLAUDE.md priorities — 40/30/15/10/5</t>
        </is>
      </c>
    </row>
    <row r="8">
      <c r="A8" s="13" t="inlineStr">
        <is>
          <t>Hardware curve</t>
        </is>
      </c>
      <c r="B8" s="19" t="inlineStr">
        <is>
          <t>Front-loaded Mo 1–9 (prototype iterations); taper Mo 10–30 (pilot units, refresh)</t>
        </is>
      </c>
    </row>
    <row r="9">
      <c r="A9" s="13" t="inlineStr">
        <is>
          <t>Engineering curve</t>
        </is>
      </c>
      <c r="B9" s="19" t="inlineStr">
        <is>
          <t>Contractor ramp Mo 1–5; FT hire Mo 6+; peak Mo 12–24; steady Mo 25–30</t>
        </is>
      </c>
    </row>
    <row r="10">
      <c r="A10" s="13" t="inlineStr">
        <is>
          <t>GTM curve</t>
        </is>
      </c>
      <c r="B10" s="19" t="inlineStr">
        <is>
          <t>Light Mo 1–12 (research, pilot lead-gen); heavy Mo 13–30 (pilots, BD hire)</t>
        </is>
      </c>
    </row>
    <row r="11">
      <c r="A11" s="13" t="inlineStr">
        <is>
          <t>IP curve</t>
        </is>
      </c>
      <c r="B11" s="19" t="inlineStr">
        <is>
          <t>Trademark Mo 1–2; non-prov conversion spike Mo 8 (~$10K); steady data infra Mo 9–30</t>
        </is>
      </c>
    </row>
    <row r="12">
      <c r="A12" s="13" t="inlineStr">
        <is>
          <t>Legal curve</t>
        </is>
      </c>
      <c r="B12" s="19" t="inlineStr">
        <is>
          <t>Front-loaded Mo 1–6 (RSPA, 83(b), SAFE redlines, retainer); quarterly reviews after</t>
        </is>
      </c>
    </row>
    <row r="13">
      <c r="A13" s="13" t="inlineStr">
        <is>
          <t>Rounding</t>
        </is>
      </c>
      <c r="B13" s="19" t="inlineStr">
        <is>
          <t>Last-month rebalanced so category totals tie to allocation exactly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2026-04-27T21:35:55Z</dcterms:created>
  <dcterms:modified xmlns:dcterms="http://purl.org/dc/terms/" xmlns:xsi="http://www.w3.org/2001/XMLSchema-instance" xsi:type="dcterms:W3CDTF">2026-04-27T21:35:55Z</dcterms:modified>
</cp:coreProperties>
</file>